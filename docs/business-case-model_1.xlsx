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cott\Documents\Personal\TraffordConsulting\Clients\MACHAlliance\Agentic_B2B_Order_Intake\"/>
    </mc:Choice>
  </mc:AlternateContent>
  <xr:revisionPtr revIDLastSave="0" documentId="13_ncr:1_{DB556826-C4B9-4097-8EAD-FCD2122FF439}" xr6:coauthVersionLast="47" xr6:coauthVersionMax="47" xr10:uidLastSave="{00000000-0000-0000-0000-000000000000}"/>
  <bookViews>
    <workbookView xWindow="26595" yWindow="2115" windowWidth="23700" windowHeight="17865" tabRatio="500" xr2:uid="{00000000-000D-0000-FFFF-FFFF00000000}"/>
  </bookViews>
  <sheets>
    <sheet name="Model" sheetId="1" r:id="rId1"/>
    <sheet name="Sensitivity" sheetId="2" r:id="rId2"/>
    <sheet name="Sources" sheetId="3" r:id="rId3"/>
  </sheets>
  <externalReferences>
    <externalReference r:id="rId4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2" i="2" l="1"/>
  <c r="D9" i="2"/>
  <c r="D8" i="2"/>
  <c r="D7" i="2"/>
  <c r="D6" i="2"/>
  <c r="D5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E12" i="2"/>
  <c r="C12" i="2"/>
  <c r="B12" i="2"/>
  <c r="E9" i="2"/>
  <c r="C9" i="2"/>
  <c r="B9" i="2"/>
  <c r="E8" i="2"/>
  <c r="C8" i="2"/>
  <c r="B8" i="2"/>
  <c r="E7" i="2"/>
  <c r="C7" i="2"/>
  <c r="B7" i="2"/>
  <c r="E6" i="2"/>
  <c r="C6" i="2"/>
  <c r="B6" i="2"/>
  <c r="E5" i="2"/>
  <c r="C5" i="2"/>
  <c r="B5" i="2"/>
  <c r="B31" i="1"/>
  <c r="B21" i="1"/>
  <c r="B23" i="1" s="1"/>
  <c r="B20" i="1"/>
  <c r="B13" i="1"/>
  <c r="B14" i="1" s="1"/>
  <c r="B11" i="1"/>
  <c r="B12" i="1" s="1"/>
  <c r="D10" i="2" l="1"/>
  <c r="D11" i="2"/>
  <c r="B15" i="1"/>
  <c r="C15" i="1"/>
  <c r="B22" i="1"/>
  <c r="B24" i="1" s="1"/>
  <c r="B29" i="1" s="1"/>
  <c r="B30" i="1" s="1"/>
  <c r="C10" i="2" l="1"/>
  <c r="B11" i="2"/>
  <c r="E10" i="2"/>
  <c r="B10" i="2"/>
  <c r="C11" i="2"/>
  <c r="E11" i="2"/>
</calcChain>
</file>

<file path=xl/sharedStrings.xml><?xml version="1.0" encoding="utf-8"?>
<sst xmlns="http://schemas.openxmlformats.org/spreadsheetml/2006/main" count="134" uniqueCount="117">
  <si>
    <t>Agentic B2B Order Intake — Business Case Model</t>
  </si>
  <si>
    <t>Blue cells = your inputs.  Black cells = calculated.  Yellow background = key inputs to update before presenting.</t>
  </si>
  <si>
    <t>A  —  Current State (Manual)</t>
  </si>
  <si>
    <t>Orders processed per month</t>
  </si>
  <si>
    <t>Total inbound POs handled manually — all channels, all formats.</t>
  </si>
  <si>
    <t>Average minutes per order (manual intake)</t>
  </si>
  <si>
    <t>Default 12 min = midpoint of 8–15 min range. Source: Emporix (2026) documents ~8 min; 2hatslogic (2025) reports 10–15 min. See Sources sheet. Override with your own measurement.</t>
  </si>
  <si>
    <t>Staff fully-loaded hourly cost (local currency)</t>
  </si>
  <si>
    <t>Total hourly cost including salary, benefits, and overhead. Typically 1.25–1.4× base salary ÷ annual hours. Enter your own figure.</t>
  </si>
  <si>
    <t>Error rate — orders with ≥1 field error (%)</t>
  </si>
  <si>
    <t>Default 2% = midpoint of 1-3% range. Conexiom (2025): manual orders are 2x more error-prone than automated. Aberdeen (2020): 33% of manually processed POs contain errors. See Sources sheet.</t>
  </si>
  <si>
    <t>Estimated internal cost per order error (local currency)</t>
  </si>
  <si>
    <t>⚠  No default — enter your own figure. Include: staff rework time, credit note processing, customer communication, and fulfillment delays.</t>
  </si>
  <si>
    <t>Monthly staff hours on intake</t>
  </si>
  <si>
    <t>Orders × (Minutes ÷ 60)</t>
  </si>
  <si>
    <t>Monthly labour cost (intake)</t>
  </si>
  <si>
    <t>Monthly hours × Hourly cost</t>
  </si>
  <si>
    <t>Orders with errors per month</t>
  </si>
  <si>
    <t>Orders × Error rate</t>
  </si>
  <si>
    <t>Monthly error cost</t>
  </si>
  <si>
    <t>Orders with errors × Cost per error</t>
  </si>
  <si>
    <t>TOTAL CURRENT MONTHLY COST</t>
  </si>
  <si>
    <t>B  —  Projected State (With Agent)</t>
  </si>
  <si>
    <t>Expected automation rate — orders auto-submitted (%)</t>
  </si>
  <si>
    <t>The % of orders the agent resolves end-to-end without human touch. Esker benchmark (Jun 2025, hundreds of CS depts): average 67%, top performers 90%+. Use Sensitivity sheet to model a range. See Sources sheet.</t>
  </si>
  <si>
    <t>Orders auto-submitted (no human touch)</t>
  </si>
  <si>
    <t>Orders × Automation rate</t>
  </si>
  <si>
    <t>Orders still handled by operator</t>
  </si>
  <si>
    <t>Orders × (1 − Automation rate)  (Human Review, Clarification, and Reject queues)</t>
  </si>
  <si>
    <t>Projected monthly labour cost</t>
  </si>
  <si>
    <t>Human-handled orders × Minutes/60 × Hourly cost. Conservative: assumes full manual time per human-reviewed order.</t>
  </si>
  <si>
    <t>Projected monthly error cost</t>
  </si>
  <si>
    <t>Human-handled orders × Error rate × Cost per error. Auto-submitted orders have no manual re-keying errors.</t>
  </si>
  <si>
    <t>TOTAL PROJECTED MONTHLY COST</t>
  </si>
  <si>
    <t>C  —  Return on Investment</t>
  </si>
  <si>
    <t>Estimated implementation cost (local currency)</t>
  </si>
  <si>
    <t>Include: infrastructure, integration, testing, and staff training. Does not include the cost of ongoing API usage (Anthropic or equivalent).</t>
  </si>
  <si>
    <t>Monthly saving</t>
  </si>
  <si>
    <t>Annual saving</t>
  </si>
  <si>
    <t>Payback period (months)</t>
  </si>
  <si>
    <t>Notes</t>
  </si>
  <si>
    <t>1.  This model measures direct labour and error-correction costs only. It does not quantify speed-to-revenue gains, scalability benefits, or staff time redirected to higher-value work. Actual returns will be higher.</t>
  </si>
  <si>
    <t>2.  The model assumes human-reviewed orders require full manual processing time. In practice the agent pre-fills data, reducing operator time.</t>
  </si>
  <si>
    <t>3.  Replace all yellow-highlighted cells with your organisation's actual data before presenting this output to decision-makers.</t>
  </si>
  <si>
    <t>Sensitivity — Monthly Saving by Automation Rate</t>
  </si>
  <si>
    <t>Shows monthly saving at different automation rates. All figures pull from your inputs on the Model sheet.</t>
  </si>
  <si>
    <t>Metric</t>
  </si>
  <si>
    <t>50%</t>
  </si>
  <si>
    <t>60%</t>
  </si>
  <si>
    <t>75%</t>
  </si>
  <si>
    <t>80%</t>
  </si>
  <si>
    <t>90%</t>
  </si>
  <si>
    <t>Orders auto-submitted</t>
  </si>
  <si>
    <t>Orders operator-handled</t>
  </si>
  <si>
    <t>Monthly labour cost</t>
  </si>
  <si>
    <t>Total projected cost</t>
  </si>
  <si>
    <t>Monthly saving vs current</t>
  </si>
  <si>
    <t>Payback (months)</t>
  </si>
  <si>
    <t>Base case (70%) highlighted in blue. Change B18 on Model sheet to adjust.</t>
  </si>
  <si>
    <t>Sources &amp; Methodology</t>
  </si>
  <si>
    <t>Data point</t>
  </si>
  <si>
    <t>Figure used</t>
  </si>
  <si>
    <t>Source</t>
  </si>
  <si>
    <t>Date</t>
  </si>
  <si>
    <t>URL</t>
  </si>
  <si>
    <t>Minutes per order (manual intake) — lower bound</t>
  </si>
  <si>
    <t>~8 minutes</t>
  </si>
  <si>
    <t>Emporix — "B2B Order Processing Automation: How AI Cuts Handling Time by 87%"</t>
  </si>
  <si>
    <t>2026</t>
  </si>
  <si>
    <t>https://www.emporix.com/blog/b2b-order-processing-automation-ai</t>
  </si>
  <si>
    <t>Minutes per order (manual intake) — upper range</t>
  </si>
  <si>
    <t>10–15 minutes</t>
  </si>
  <si>
    <t>2hatslogic — "Why Small B2B Companies Should Automate Order Capture Now"</t>
  </si>
  <si>
    <t>Dec 2025</t>
  </si>
  <si>
    <t>https://www.2hatslogic.com/blog/why-smbs-should-automate-order-capture/</t>
  </si>
  <si>
    <t>Cost per order (B2B intake)</t>
  </si>
  <si>
    <t>€25–€100</t>
  </si>
  <si>
    <t>Manual order entry error rate</t>
  </si>
  <si>
    <t>1%–3% per order</t>
  </si>
  <si>
    <t>Conexiom — "The Real Cost of Manual Order Entry in B2B Operations" (citing APQC data entry benchmarks)</t>
  </si>
  <si>
    <t>Jul 2025</t>
  </si>
  <si>
    <t>https://conexiom.com/blog/the-real-cost-of-manual-order-entry-in-b2b-operations</t>
  </si>
  <si>
    <t>Field-level error compounding</t>
  </si>
  <si>
    <t>~24% of orders have ≥1 error at 3%/field</t>
  </si>
  <si>
    <t>Nventory — "Hidden Costs of Manual Order Processing"</t>
  </si>
  <si>
    <t>Oct 2025</t>
  </si>
  <si>
    <t>https://nventory.io/blog/manual-order-processing-costs</t>
  </si>
  <si>
    <t>Automation time reduction (intake)</t>
  </si>
  <si>
    <t>~87% (8 min → &lt;60 sec)</t>
  </si>
  <si>
    <t>Emporix — documented ACR deployment case study</t>
  </si>
  <si>
    <t>Methodology: The model uses cited figures as default inputs only. All inputs should be replaced with organisation-specific data before presenting results. The automation rate is not cited from any source — it is the key scenario variable the adopter controls.</t>
  </si>
  <si>
    <t>Average touchless order rate — industry benchmark</t>
  </si>
  <si>
    <t>67% average; 90%+ for top performers</t>
  </si>
  <si>
    <t>Esker — "How Order Management Benchmarks Can Guide Smarter Business Decisions" (Jun 2025 webinar, hundreds of CS depts)</t>
  </si>
  <si>
    <t>https://www.esker.com/blog/customer-service/how-order-management-benchmarks-can-guide-smarter-business-decisions/</t>
  </si>
  <si>
    <t>Error rate reduction after automation deployment</t>
  </si>
  <si>
    <t>5% → 0.3% (documented case)</t>
  </si>
  <si>
    <t>Esker — same benchmark article, single-customer case study</t>
  </si>
  <si>
    <t>Manual vs automated orders — shipping and accuracy</t>
  </si>
  <si>
    <t>33% more likely to ship late; 2x more error-prone</t>
  </si>
  <si>
    <t>Conexiom — homepage "Order Automation Intelligence for Manufacturers &amp; Distributors"</t>
  </si>
  <si>
    <t>2025</t>
  </si>
  <si>
    <t>https://conexiom.com/homepage-c</t>
  </si>
  <si>
    <t>CSR time spent on manual order entry</t>
  </si>
  <si>
    <t>Up to 80% of working day</t>
  </si>
  <si>
    <t>Conexiom — product description, Order Automation platform</t>
  </si>
  <si>
    <t>Manual PO cost per document (directional, 2020 data)</t>
  </si>
  <si>
    <t>$43 per PO</t>
  </si>
  <si>
    <t>Aberdeen Group, 165 organizations, via IBM Sterling B2B blog — "New Research Helps Build the Case for Small Partner Automation"</t>
  </si>
  <si>
    <t>Jan 2020</t>
  </si>
  <si>
    <t>https://community.ibm.com/community/user/blogs/brian-bailey/2020/01/22/new-research-helps-build-the-case-for-small-partne</t>
  </si>
  <si>
    <t>Manual PO document-level error rate (directional, 2020 data)</t>
  </si>
  <si>
    <t>33% of manually processed POs have errors</t>
  </si>
  <si>
    <t>Aberdeen Group, 165 organizations, via IBM Sterling B2B blog</t>
  </si>
  <si>
    <t>Cost to fix a manual PO error (directional, 2020 data)</t>
  </si>
  <si>
    <t>$182 per error correction</t>
  </si>
  <si>
    <t>67%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</si>
</sst>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\$#,##0.00"/>
    <numFmt numFmtId="166" formatCode="0.0%"/>
    <numFmt numFmtId="167" formatCode="\$#,##0"/>
  </numFmts>
  <fonts count="14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64748B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10"/>
      <color rgb="FFFFFFFF"/>
      <name val="Arial"/>
      <charset val="1"/>
    </font>
    <font>
      <sz val="10"/>
      <color rgb="FF64748B"/>
      <name val="Arial"/>
      <charset val="1"/>
    </font>
    <font>
      <b/>
      <sz val="10"/>
      <color rgb="FF000000"/>
      <name val="Arial"/>
      <charset val="1"/>
    </font>
    <font>
      <b/>
      <sz val="13"/>
      <color rgb="FFFFFFFF"/>
      <name val="Arial"/>
      <charset val="1"/>
    </font>
    <font>
      <u/>
      <sz val="10"/>
      <color rgb="FF0EA5E9"/>
      <name val="Arial"/>
      <charset val="1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B1F33"/>
        <bgColor rgb="FF132F4C"/>
      </patternFill>
    </fill>
    <fill>
      <patternFill patternType="solid">
        <fgColor rgb="FF132F4C"/>
        <bgColor rgb="FF0B1F33"/>
      </patternFill>
    </fill>
    <fill>
      <patternFill patternType="solid">
        <fgColor rgb="FFFFFF00"/>
        <bgColor rgb="FFFFFF00"/>
      </patternFill>
    </fill>
    <fill>
      <patternFill patternType="solid">
        <fgColor rgb="FFFEF2F2"/>
        <bgColor rgb="FFF2F5F8"/>
      </patternFill>
    </fill>
    <fill>
      <patternFill patternType="solid">
        <fgColor rgb="FF1D4E7A"/>
        <bgColor rgb="FF132F4C"/>
      </patternFill>
    </fill>
    <fill>
      <patternFill patternType="solid">
        <fgColor rgb="FFE8F4FD"/>
        <bgColor rgb="FFF2F5F8"/>
      </patternFill>
    </fill>
    <fill>
      <patternFill patternType="solid">
        <fgColor rgb="FFF2F5F8"/>
        <bgColor rgb="FFE8F4FD"/>
      </patternFill>
    </fill>
    <fill>
      <patternFill patternType="solid">
        <fgColor rgb="FFFFFFFF"/>
        <bgColor rgb="FFF2F5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9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167" fontId="4" fillId="0" borderId="0" xfId="0" applyNumberFormat="1" applyFont="1" applyAlignment="1">
      <alignment horizontal="right" vertical="center"/>
    </xf>
    <xf numFmtId="3" fontId="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right" vertical="center"/>
    </xf>
    <xf numFmtId="0" fontId="6" fillId="6" borderId="0" xfId="0" applyFont="1" applyFill="1" applyAlignment="1">
      <alignment horizontal="left" vertical="center" wrapText="1"/>
    </xf>
    <xf numFmtId="167" fontId="8" fillId="8" borderId="0" xfId="0" applyNumberFormat="1" applyFont="1" applyFill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10" fillId="8" borderId="0" xfId="0" applyFont="1" applyFill="1" applyAlignment="1">
      <alignment horizontal="left" wrapText="1"/>
    </xf>
    <xf numFmtId="0" fontId="4" fillId="9" borderId="0" xfId="0" applyFont="1" applyFill="1" applyAlignment="1">
      <alignment horizontal="left" vertical="center"/>
    </xf>
    <xf numFmtId="0" fontId="10" fillId="9" borderId="0" xfId="0" applyFont="1" applyFill="1" applyAlignment="1">
      <alignment horizontal="left" wrapText="1"/>
    </xf>
    <xf numFmtId="0" fontId="4" fillId="8" borderId="0" xfId="0" applyFont="1" applyFill="1" applyAlignment="1">
      <alignment horizontal="left" vertical="center" wrapText="1"/>
    </xf>
    <xf numFmtId="0" fontId="4" fillId="9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vertical="top"/>
    </xf>
    <xf numFmtId="0" fontId="3" fillId="3" borderId="0" xfId="0" applyFont="1" applyFill="1" applyAlignment="1">
      <alignment horizontal="left" vertical="top" wrapText="1"/>
    </xf>
    <xf numFmtId="0" fontId="4" fillId="0" borderId="0" xfId="0" applyFont="1" applyAlignment="1">
      <alignment horizontal="left" vertical="top"/>
    </xf>
    <xf numFmtId="3" fontId="5" fillId="4" borderId="0" xfId="0" applyNumberFormat="1" applyFont="1" applyFill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164" fontId="5" fillId="4" borderId="0" xfId="0" applyNumberFormat="1" applyFont="1" applyFill="1" applyAlignment="1">
      <alignment horizontal="right" vertical="top"/>
    </xf>
    <xf numFmtId="165" fontId="5" fillId="4" borderId="0" xfId="0" applyNumberFormat="1" applyFont="1" applyFill="1" applyAlignment="1">
      <alignment horizontal="right" vertical="top"/>
    </xf>
    <xf numFmtId="166" fontId="5" fillId="4" borderId="0" xfId="0" applyNumberFormat="1" applyFont="1" applyFill="1" applyAlignment="1">
      <alignment horizontal="right" vertical="top"/>
    </xf>
    <xf numFmtId="165" fontId="5" fillId="5" borderId="0" xfId="0" applyNumberFormat="1" applyFont="1" applyFill="1" applyAlignment="1">
      <alignment horizontal="right" vertical="top"/>
    </xf>
    <xf numFmtId="164" fontId="4" fillId="0" borderId="0" xfId="0" applyNumberFormat="1" applyFont="1" applyAlignment="1">
      <alignment horizontal="right" vertical="top"/>
    </xf>
    <xf numFmtId="167" fontId="4" fillId="0" borderId="0" xfId="0" applyNumberFormat="1" applyFont="1" applyAlignment="1">
      <alignment horizontal="right" vertical="top"/>
    </xf>
    <xf numFmtId="3" fontId="4" fillId="0" borderId="0" xfId="0" applyNumberFormat="1" applyFont="1" applyAlignment="1">
      <alignment horizontal="right" vertical="top"/>
    </xf>
    <xf numFmtId="0" fontId="6" fillId="2" borderId="0" xfId="0" applyFont="1" applyFill="1" applyAlignment="1">
      <alignment horizontal="left" vertical="top" wrapText="1"/>
    </xf>
    <xf numFmtId="167" fontId="3" fillId="2" borderId="0" xfId="0" applyNumberFormat="1" applyFont="1" applyFill="1" applyAlignment="1">
      <alignment horizontal="right" vertical="top"/>
    </xf>
    <xf numFmtId="0" fontId="7" fillId="0" borderId="0" xfId="0" applyFont="1" applyAlignment="1">
      <alignment vertical="top"/>
    </xf>
    <xf numFmtId="9" fontId="5" fillId="4" borderId="0" xfId="0" applyNumberFormat="1" applyFont="1" applyFill="1" applyAlignment="1">
      <alignment horizontal="right" vertical="top"/>
    </xf>
    <xf numFmtId="167" fontId="5" fillId="4" borderId="0" xfId="0" applyNumberFormat="1" applyFont="1" applyFill="1" applyAlignment="1">
      <alignment horizontal="right" vertical="top"/>
    </xf>
    <xf numFmtId="0" fontId="8" fillId="0" borderId="0" xfId="0" applyFont="1" applyAlignment="1">
      <alignment horizontal="left" vertical="top"/>
    </xf>
    <xf numFmtId="167" fontId="8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right" vertical="top"/>
    </xf>
    <xf numFmtId="0" fontId="11" fillId="2" borderId="0" xfId="0" applyFont="1" applyFill="1" applyAlignment="1">
      <alignment horizontal="center" vertical="center"/>
    </xf>
    <xf numFmtId="3" fontId="12" fillId="7" borderId="0" xfId="0" applyNumberFormat="1" applyFont="1" applyFill="1" applyAlignment="1">
      <alignment horizontal="right" vertical="center"/>
    </xf>
    <xf numFmtId="167" fontId="13" fillId="7" borderId="0" xfId="0" applyNumberFormat="1" applyFont="1" applyFill="1" applyAlignment="1">
      <alignment horizontal="right" vertical="center"/>
    </xf>
    <xf numFmtId="49" fontId="13" fillId="7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2F2"/>
      <rgbColor rgb="FFE8F4F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EA5E9"/>
      <rgbColor rgb="FFF2F5F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132F4C"/>
      <rgbColor rgb="FF339966"/>
      <rgbColor rgb="FF0B1F33"/>
      <rgbColor rgb="FF333300"/>
      <rgbColor rgb="FF993300"/>
      <rgbColor rgb="FF993366"/>
      <rgbColor rgb="FF1D4E7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Downloads/business-case-model_3.xlsx" TargetMode="External"/><Relationship Id="rId2" Type="http://schemas.openxmlformats.org/officeDocument/2006/relationships/externalLinkPath" Target="file:///C:\Users\Scott\Downloads\business-case-model_3.xlsx" TargetMode="External"/><Relationship Id="rId1" Type="http://schemas.openxmlformats.org/officeDocument/2006/relationships/externalLinkPath" Target="/Users/Scott/Downloads/business-case-model_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odel"/>
      <sheetName val="Sensitivity"/>
      <sheetName val="Sources"/>
    </sheetNames>
    <sheetDataSet>
      <sheetData sheetId="0">
        <row r="5">
          <cell r="B5">
            <v>500</v>
          </cell>
        </row>
        <row r="6">
          <cell r="B6">
            <v>12</v>
          </cell>
        </row>
        <row r="7">
          <cell r="B7">
            <v>35</v>
          </cell>
        </row>
        <row r="8">
          <cell r="B8">
            <v>0.02</v>
          </cell>
        </row>
        <row r="9">
          <cell r="B9">
            <v>0</v>
          </cell>
        </row>
        <row r="15">
          <cell r="B15">
            <v>3500</v>
          </cell>
        </row>
        <row r="27">
          <cell r="B27">
            <v>0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sker.com/blog/customer-service/how-order-management-benchmarks-can-guide-smarter-business-decisions/" TargetMode="External"/><Relationship Id="rId13" Type="http://schemas.openxmlformats.org/officeDocument/2006/relationships/hyperlink" Target="https://community.ibm.com/community/user/blogs/brian-bailey/2020/01/22/new-research-helps-build-the-case-for-small-partne" TargetMode="External"/><Relationship Id="rId3" Type="http://schemas.openxmlformats.org/officeDocument/2006/relationships/hyperlink" Target="https://www.emporix.com/blog/b2b-order-processing-automation-ai" TargetMode="External"/><Relationship Id="rId7" Type="http://schemas.openxmlformats.org/officeDocument/2006/relationships/hyperlink" Target="https://www.esker.com/blog/customer-service/how-order-management-benchmarks-can-guide-smarter-business-decisions/" TargetMode="External"/><Relationship Id="rId12" Type="http://schemas.openxmlformats.org/officeDocument/2006/relationships/hyperlink" Target="https://community.ibm.com/community/user/blogs/brian-bailey/2020/01/22/new-research-helps-build-the-case-for-small-partne" TargetMode="External"/><Relationship Id="rId2" Type="http://schemas.openxmlformats.org/officeDocument/2006/relationships/hyperlink" Target="https://www.2hatslogic.com/blog/why-smbs-should-automate-order-capture/" TargetMode="External"/><Relationship Id="rId1" Type="http://schemas.openxmlformats.org/officeDocument/2006/relationships/hyperlink" Target="https://www.emporix.com/blog/b2b-order-processing-automation-ai" TargetMode="External"/><Relationship Id="rId6" Type="http://schemas.openxmlformats.org/officeDocument/2006/relationships/hyperlink" Target="https://www.emporix.com/blog/b2b-order-processing-automation-ai" TargetMode="External"/><Relationship Id="rId11" Type="http://schemas.openxmlformats.org/officeDocument/2006/relationships/hyperlink" Target="https://community.ibm.com/community/user/blogs/brian-bailey/2020/01/22/new-research-helps-build-the-case-for-small-partne" TargetMode="External"/><Relationship Id="rId5" Type="http://schemas.openxmlformats.org/officeDocument/2006/relationships/hyperlink" Target="https://nventory.io/blog/manual-order-processing-costs" TargetMode="External"/><Relationship Id="rId10" Type="http://schemas.openxmlformats.org/officeDocument/2006/relationships/hyperlink" Target="https://conexiom.com/homepage-c" TargetMode="External"/><Relationship Id="rId4" Type="http://schemas.openxmlformats.org/officeDocument/2006/relationships/hyperlink" Target="https://conexiom.com/blog/the-real-cost-of-manual-order-entry-in-b2b-operations" TargetMode="External"/><Relationship Id="rId9" Type="http://schemas.openxmlformats.org/officeDocument/2006/relationships/hyperlink" Target="https://conexiom.com/homepage-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showGridLines="0" tabSelected="1" topLeftCell="A4" zoomScaleNormal="100" workbookViewId="0">
      <selection activeCell="B7" sqref="B7"/>
    </sheetView>
  </sheetViews>
  <sheetFormatPr defaultColWidth="8.7109375" defaultRowHeight="15" x14ac:dyDescent="0.25"/>
  <cols>
    <col min="1" max="1" width="50.42578125" customWidth="1"/>
    <col min="2" max="2" width="18" customWidth="1"/>
    <col min="3" max="3" width="50.7109375" customWidth="1"/>
  </cols>
  <sheetData>
    <row r="1" spans="1:3" ht="36" customHeight="1" x14ac:dyDescent="0.25">
      <c r="A1" s="18" t="s">
        <v>0</v>
      </c>
      <c r="B1" s="18"/>
      <c r="C1" s="18"/>
    </row>
    <row r="2" spans="1:3" ht="15" customHeight="1" x14ac:dyDescent="0.25">
      <c r="A2" s="17" t="s">
        <v>1</v>
      </c>
      <c r="B2" s="17"/>
      <c r="C2" s="17"/>
    </row>
    <row r="3" spans="1:3" x14ac:dyDescent="0.25">
      <c r="A3" s="19"/>
      <c r="B3" s="19"/>
      <c r="C3" s="19"/>
    </row>
    <row r="4" spans="1:3" ht="15" customHeight="1" x14ac:dyDescent="0.25">
      <c r="A4" s="20" t="s">
        <v>2</v>
      </c>
      <c r="B4" s="20"/>
      <c r="C4" s="20"/>
    </row>
    <row r="5" spans="1:3" ht="21.75" customHeight="1" x14ac:dyDescent="0.25">
      <c r="A5" s="21" t="s">
        <v>3</v>
      </c>
      <c r="B5" s="22">
        <v>500</v>
      </c>
      <c r="C5" s="23" t="s">
        <v>4</v>
      </c>
    </row>
    <row r="6" spans="1:3" ht="42.75" customHeight="1" x14ac:dyDescent="0.25">
      <c r="A6" s="21" t="s">
        <v>5</v>
      </c>
      <c r="B6" s="24">
        <v>12</v>
      </c>
      <c r="C6" s="23" t="s">
        <v>6</v>
      </c>
    </row>
    <row r="7" spans="1:3" ht="36" x14ac:dyDescent="0.25">
      <c r="A7" s="21" t="s">
        <v>7</v>
      </c>
      <c r="B7" s="25">
        <v>35</v>
      </c>
      <c r="C7" s="23" t="s">
        <v>8</v>
      </c>
    </row>
    <row r="8" spans="1:3" ht="48" x14ac:dyDescent="0.25">
      <c r="A8" s="21" t="s">
        <v>9</v>
      </c>
      <c r="B8" s="26">
        <v>0.02</v>
      </c>
      <c r="C8" s="23" t="s">
        <v>10</v>
      </c>
    </row>
    <row r="9" spans="1:3" ht="36" x14ac:dyDescent="0.25">
      <c r="A9" s="21" t="s">
        <v>11</v>
      </c>
      <c r="B9" s="27">
        <v>0</v>
      </c>
      <c r="C9" s="23" t="s">
        <v>12</v>
      </c>
    </row>
    <row r="10" spans="1:3" x14ac:dyDescent="0.25">
      <c r="A10" s="19"/>
      <c r="B10" s="19"/>
      <c r="C10" s="19"/>
    </row>
    <row r="11" spans="1:3" ht="15" customHeight="1" x14ac:dyDescent="0.25">
      <c r="A11" s="21" t="s">
        <v>13</v>
      </c>
      <c r="B11" s="28">
        <f>B5*(B6/60)</f>
        <v>100</v>
      </c>
      <c r="C11" s="23" t="s">
        <v>14</v>
      </c>
    </row>
    <row r="12" spans="1:3" ht="15" customHeight="1" x14ac:dyDescent="0.25">
      <c r="A12" s="21" t="s">
        <v>15</v>
      </c>
      <c r="B12" s="29">
        <f>B11*B7</f>
        <v>3500</v>
      </c>
      <c r="C12" s="23" t="s">
        <v>16</v>
      </c>
    </row>
    <row r="13" spans="1:3" ht="15" customHeight="1" x14ac:dyDescent="0.25">
      <c r="A13" s="21" t="s">
        <v>17</v>
      </c>
      <c r="B13" s="30">
        <f>B5*B8</f>
        <v>10</v>
      </c>
      <c r="C13" s="23" t="s">
        <v>18</v>
      </c>
    </row>
    <row r="14" spans="1:3" ht="15" customHeight="1" x14ac:dyDescent="0.25">
      <c r="A14" s="21" t="s">
        <v>19</v>
      </c>
      <c r="B14" s="29">
        <f>B13*B9</f>
        <v>0</v>
      </c>
      <c r="C14" s="23" t="s">
        <v>20</v>
      </c>
    </row>
    <row r="15" spans="1:3" ht="15" customHeight="1" x14ac:dyDescent="0.25">
      <c r="A15" s="31" t="s">
        <v>21</v>
      </c>
      <c r="B15" s="32">
        <f>B12+B14</f>
        <v>3500</v>
      </c>
      <c r="C15" s="33" t="str">
        <f>"Annual equivalent:  $"&amp;TEXT(B15*12,"#,##0")</f>
        <v>Annual equivalent:  $42,000</v>
      </c>
    </row>
    <row r="16" spans="1:3" x14ac:dyDescent="0.25">
      <c r="A16" s="19"/>
      <c r="B16" s="19"/>
      <c r="C16" s="19"/>
    </row>
    <row r="17" spans="1:3" ht="15" customHeight="1" x14ac:dyDescent="0.25">
      <c r="A17" s="20" t="s">
        <v>22</v>
      </c>
      <c r="B17" s="20"/>
      <c r="C17" s="20"/>
    </row>
    <row r="18" spans="1:3" ht="53.25" customHeight="1" x14ac:dyDescent="0.25">
      <c r="A18" s="21" t="s">
        <v>23</v>
      </c>
      <c r="B18" s="34">
        <v>0.67</v>
      </c>
      <c r="C18" s="23" t="s">
        <v>24</v>
      </c>
    </row>
    <row r="19" spans="1:3" x14ac:dyDescent="0.25">
      <c r="A19" s="19"/>
      <c r="B19" s="19"/>
      <c r="C19" s="19"/>
    </row>
    <row r="20" spans="1:3" ht="15" customHeight="1" x14ac:dyDescent="0.25">
      <c r="A20" s="21" t="s">
        <v>25</v>
      </c>
      <c r="B20" s="30">
        <f>B5*B18</f>
        <v>335</v>
      </c>
      <c r="C20" s="23" t="s">
        <v>26</v>
      </c>
    </row>
    <row r="21" spans="1:3" ht="24" x14ac:dyDescent="0.25">
      <c r="A21" s="21" t="s">
        <v>27</v>
      </c>
      <c r="B21" s="30">
        <f>B5*(1-B18)</f>
        <v>164.99999999999997</v>
      </c>
      <c r="C21" s="23" t="s">
        <v>28</v>
      </c>
    </row>
    <row r="22" spans="1:3" ht="36" x14ac:dyDescent="0.25">
      <c r="A22" s="21" t="s">
        <v>29</v>
      </c>
      <c r="B22" s="29">
        <f>B21*(B6/60)*B7</f>
        <v>1154.9999999999998</v>
      </c>
      <c r="C22" s="23" t="s">
        <v>30</v>
      </c>
    </row>
    <row r="23" spans="1:3" ht="24" x14ac:dyDescent="0.25">
      <c r="A23" s="21" t="s">
        <v>31</v>
      </c>
      <c r="B23" s="29">
        <f>B21*B8*B9</f>
        <v>0</v>
      </c>
      <c r="C23" s="23" t="s">
        <v>32</v>
      </c>
    </row>
    <row r="24" spans="1:3" ht="15" customHeight="1" x14ac:dyDescent="0.25">
      <c r="A24" s="31" t="s">
        <v>33</v>
      </c>
      <c r="B24" s="32">
        <f>B22+B23</f>
        <v>1154.9999999999998</v>
      </c>
      <c r="C24" s="19"/>
    </row>
    <row r="25" spans="1:3" x14ac:dyDescent="0.25">
      <c r="A25" s="19"/>
      <c r="B25" s="19"/>
      <c r="C25" s="19"/>
    </row>
    <row r="26" spans="1:3" ht="15" customHeight="1" x14ac:dyDescent="0.25">
      <c r="A26" s="20" t="s">
        <v>34</v>
      </c>
      <c r="B26" s="20"/>
      <c r="C26" s="20"/>
    </row>
    <row r="27" spans="1:3" ht="36" x14ac:dyDescent="0.25">
      <c r="A27" s="21" t="s">
        <v>35</v>
      </c>
      <c r="B27" s="35">
        <v>0</v>
      </c>
      <c r="C27" s="23" t="s">
        <v>36</v>
      </c>
    </row>
    <row r="28" spans="1:3" x14ac:dyDescent="0.25">
      <c r="A28" s="19"/>
      <c r="B28" s="19"/>
      <c r="C28" s="19"/>
    </row>
    <row r="29" spans="1:3" ht="15" customHeight="1" x14ac:dyDescent="0.25">
      <c r="A29" s="36" t="s">
        <v>37</v>
      </c>
      <c r="B29" s="37">
        <f>B15-B24</f>
        <v>2345</v>
      </c>
      <c r="C29" s="19"/>
    </row>
    <row r="30" spans="1:3" ht="15" customHeight="1" x14ac:dyDescent="0.25">
      <c r="A30" s="36" t="s">
        <v>38</v>
      </c>
      <c r="B30" s="37">
        <f>B29*12</f>
        <v>28140</v>
      </c>
      <c r="C30" s="19"/>
    </row>
    <row r="31" spans="1:3" ht="15" customHeight="1" x14ac:dyDescent="0.25">
      <c r="A31" s="21" t="s">
        <v>39</v>
      </c>
      <c r="B31" s="38" t="str">
        <f>IF(B27=0,"—",IF(B29&lt;=0,"Does not pay back",TEXT(B27/B29,"0.0")))</f>
        <v>—</v>
      </c>
      <c r="C31" s="19"/>
    </row>
    <row r="32" spans="1:3" x14ac:dyDescent="0.25">
      <c r="A32" s="19"/>
      <c r="B32" s="19"/>
      <c r="C32" s="19"/>
    </row>
    <row r="33" spans="1:3" ht="15" customHeight="1" x14ac:dyDescent="0.25">
      <c r="A33" s="36" t="s">
        <v>40</v>
      </c>
      <c r="B33" s="19"/>
      <c r="C33" s="19"/>
    </row>
    <row r="34" spans="1:3" ht="27.75" customHeight="1" x14ac:dyDescent="0.25">
      <c r="A34" s="17" t="s">
        <v>41</v>
      </c>
      <c r="B34" s="17"/>
      <c r="C34" s="17"/>
    </row>
    <row r="35" spans="1:3" ht="27.75" customHeight="1" x14ac:dyDescent="0.25">
      <c r="A35" s="17" t="s">
        <v>42</v>
      </c>
      <c r="B35" s="17"/>
      <c r="C35" s="17"/>
    </row>
    <row r="36" spans="1:3" ht="27.75" customHeight="1" x14ac:dyDescent="0.25">
      <c r="A36" s="17" t="s">
        <v>43</v>
      </c>
      <c r="B36" s="17"/>
      <c r="C36" s="17"/>
    </row>
  </sheetData>
  <mergeCells count="8">
    <mergeCell ref="A34:C34"/>
    <mergeCell ref="A35:C35"/>
    <mergeCell ref="A36:C36"/>
    <mergeCell ref="A1:C1"/>
    <mergeCell ref="A2:C2"/>
    <mergeCell ref="A4:C4"/>
    <mergeCell ref="A17:C17"/>
    <mergeCell ref="A26:C2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showGridLines="0" zoomScaleNormal="100" workbookViewId="0">
      <selection activeCell="D23" sqref="D23"/>
    </sheetView>
  </sheetViews>
  <sheetFormatPr defaultColWidth="8.7109375" defaultRowHeight="15" x14ac:dyDescent="0.25"/>
  <cols>
    <col min="1" max="1" width="30" customWidth="1"/>
    <col min="2" max="7" width="14" customWidth="1"/>
  </cols>
  <sheetData>
    <row r="1" spans="1:7" ht="15.75" customHeight="1" x14ac:dyDescent="0.25">
      <c r="A1" s="1" t="s">
        <v>44</v>
      </c>
      <c r="B1" s="1"/>
      <c r="C1" s="1"/>
      <c r="D1" s="1"/>
      <c r="E1" s="1"/>
      <c r="F1" s="1"/>
      <c r="G1" s="1"/>
    </row>
    <row r="2" spans="1:7" ht="15" customHeight="1" x14ac:dyDescent="0.25">
      <c r="A2" s="2" t="s">
        <v>45</v>
      </c>
      <c r="B2" s="2"/>
      <c r="C2" s="2"/>
      <c r="D2" s="2"/>
      <c r="E2" s="2"/>
      <c r="F2" s="2"/>
      <c r="G2" s="2"/>
    </row>
    <row r="4" spans="1:7" ht="15" customHeight="1" x14ac:dyDescent="0.25">
      <c r="A4" s="9" t="s">
        <v>46</v>
      </c>
      <c r="B4" s="9" t="s">
        <v>47</v>
      </c>
      <c r="C4" s="9" t="s">
        <v>48</v>
      </c>
      <c r="D4" s="39" t="s">
        <v>116</v>
      </c>
      <c r="E4" s="9" t="s">
        <v>49</v>
      </c>
      <c r="F4" s="9" t="s">
        <v>50</v>
      </c>
      <c r="G4" s="9" t="s">
        <v>51</v>
      </c>
    </row>
    <row r="5" spans="1:7" ht="15" customHeight="1" x14ac:dyDescent="0.25">
      <c r="A5" s="4" t="s">
        <v>52</v>
      </c>
      <c r="B5" s="6">
        <f>Model!B5*0.5</f>
        <v>250</v>
      </c>
      <c r="C5" s="6">
        <f>Model!B5*0.6</f>
        <v>300</v>
      </c>
      <c r="D5" s="40">
        <f>[1]Model!B5*0.67</f>
        <v>335</v>
      </c>
      <c r="E5" s="6">
        <f>Model!B5*0.75</f>
        <v>375</v>
      </c>
      <c r="F5" s="6">
        <f>Model!B5*0.8</f>
        <v>400</v>
      </c>
      <c r="G5" s="6">
        <f>Model!B5*0.9</f>
        <v>450</v>
      </c>
    </row>
    <row r="6" spans="1:7" ht="15" customHeight="1" x14ac:dyDescent="0.25">
      <c r="A6" s="4" t="s">
        <v>53</v>
      </c>
      <c r="B6" s="6">
        <f>Model!B5*(1-0.5)</f>
        <v>250</v>
      </c>
      <c r="C6" s="6">
        <f>Model!B5*(1-0.6)</f>
        <v>200</v>
      </c>
      <c r="D6" s="40">
        <f>[1]Model!B5*(1-0.67)</f>
        <v>164.99999999999997</v>
      </c>
      <c r="E6" s="6">
        <f>Model!B5*(1-0.75)</f>
        <v>125</v>
      </c>
      <c r="F6" s="6">
        <f>Model!B5*(1-0.8)</f>
        <v>99.999999999999972</v>
      </c>
      <c r="G6" s="6">
        <f>Model!B5*(1-0.9)</f>
        <v>49.999999999999986</v>
      </c>
    </row>
    <row r="7" spans="1:7" ht="15" customHeight="1" x14ac:dyDescent="0.25">
      <c r="A7" s="4" t="s">
        <v>54</v>
      </c>
      <c r="B7" s="5">
        <f>Model!B5*(1-0.5)*(Model!B6/60)*Model!B7</f>
        <v>1750</v>
      </c>
      <c r="C7" s="5">
        <f>Model!B5*(1-0.6)*(Model!B6/60)*Model!B7</f>
        <v>1400</v>
      </c>
      <c r="D7" s="41">
        <f>[1]Model!B5*(1-0.67)*([1]Model!B6/60)*[1]Model!B7</f>
        <v>1154.9999999999998</v>
      </c>
      <c r="E7" s="5">
        <f>Model!B5*(1-0.75)*(Model!B6/60)*Model!B7</f>
        <v>875</v>
      </c>
      <c r="F7" s="5">
        <f>Model!B5*(1-0.8)*(Model!B6/60)*Model!B7</f>
        <v>699.99999999999989</v>
      </c>
      <c r="G7" s="5">
        <f>Model!B5*(1-0.9)*(Model!B6/60)*Model!B7</f>
        <v>349.99999999999994</v>
      </c>
    </row>
    <row r="8" spans="1:7" ht="15" customHeight="1" x14ac:dyDescent="0.25">
      <c r="A8" s="4" t="s">
        <v>19</v>
      </c>
      <c r="B8" s="5">
        <f>Model!B5*(1-0.5)*Model!B8*Model!B9</f>
        <v>0</v>
      </c>
      <c r="C8" s="5">
        <f>Model!B5*(1-0.6)*Model!B8*Model!B9</f>
        <v>0</v>
      </c>
      <c r="D8" s="41">
        <f>[1]Model!B5*(1-0.67)*[1]Model!B8*[1]Model!B9</f>
        <v>0</v>
      </c>
      <c r="E8" s="5">
        <f>Model!B5*(1-0.75)*Model!B8*Model!B9</f>
        <v>0</v>
      </c>
      <c r="F8" s="5">
        <f>Model!B5*(1-0.8)*Model!B8*Model!B9</f>
        <v>0</v>
      </c>
      <c r="G8" s="5">
        <f>Model!B5*(1-0.9)*Model!B8*Model!B9</f>
        <v>0</v>
      </c>
    </row>
    <row r="9" spans="1:7" ht="15" customHeight="1" x14ac:dyDescent="0.25">
      <c r="A9" s="4" t="s">
        <v>55</v>
      </c>
      <c r="B9" s="5">
        <f>Model!B5*(1-0.5)*(Model!B6/60)*Model!B7+Model!B5*(1-0.5)*Model!B8*Model!B9</f>
        <v>1750</v>
      </c>
      <c r="C9" s="5">
        <f>Model!B5*(1-0.6)*(Model!B6/60)*Model!B7+Model!B5*(1-0.6)*Model!B8*Model!B9</f>
        <v>1400</v>
      </c>
      <c r="D9" s="41">
        <f>[1]Model!B5*(1-0.67)*([1]Model!B6/60)*[1]Model!B7+[1]Model!B5*(1-0.67)*[1]Model!B8*[1]Model!B9</f>
        <v>1154.9999999999998</v>
      </c>
      <c r="E9" s="5">
        <f>Model!B5*(1-0.75)*(Model!B6/60)*Model!B7+Model!B5*(1-0.75)*Model!B8*Model!B9</f>
        <v>875</v>
      </c>
      <c r="F9" s="5">
        <f>Model!B5*(1-0.8)*(Model!B6/60)*Model!B7+Model!B5*(1-0.8)*Model!B8*Model!B9</f>
        <v>699.99999999999989</v>
      </c>
      <c r="G9" s="5">
        <f>Model!B5*(1-0.9)*(Model!B6/60)*Model!B7+Model!B5*(1-0.9)*Model!B8*Model!B9</f>
        <v>349.99999999999994</v>
      </c>
    </row>
    <row r="10" spans="1:7" ht="15" customHeight="1" x14ac:dyDescent="0.25">
      <c r="A10" s="7" t="s">
        <v>56</v>
      </c>
      <c r="B10" s="10">
        <f>Model!B15-(Model!B5*(1-0.5)*(Model!B6/60)*Model!B7+Model!B5*(1-0.5)*Model!B8*Model!B9)</f>
        <v>1750</v>
      </c>
      <c r="C10" s="10">
        <f>Model!B15-(Model!B5*(1-0.6)*(Model!B6/60)*Model!B7+Model!B5*(1-0.6)*Model!B8*Model!B9)</f>
        <v>2100</v>
      </c>
      <c r="D10" s="41">
        <f>[1]Model!B15-([1]Model!B5*(1-0.67)*([1]Model!B6/60)*[1]Model!B7+[1]Model!B5*(1-0.67)*[1]Model!B8*[1]Model!B9)</f>
        <v>2345</v>
      </c>
      <c r="E10" s="10">
        <f>Model!B15-(Model!B5*(1-0.75)*(Model!B6/60)*Model!B7+Model!B5*(1-0.75)*Model!B8*Model!B9)</f>
        <v>2625</v>
      </c>
      <c r="F10" s="10">
        <f>Model!B15-(Model!B5*(1-0.8)*(Model!B6/60)*Model!B7+Model!B5*(1-0.8)*Model!B8*Model!B9)</f>
        <v>2800</v>
      </c>
      <c r="G10" s="10">
        <f>Model!B15-(Model!B5*(1-0.9)*(Model!B6/60)*Model!B7+Model!B5*(1-0.9)*Model!B8*Model!B9)</f>
        <v>3150</v>
      </c>
    </row>
    <row r="11" spans="1:7" ht="15" customHeight="1" x14ac:dyDescent="0.25">
      <c r="A11" s="7" t="s">
        <v>38</v>
      </c>
      <c r="B11" s="10">
        <f>(Model!B15-(Model!B5*(1-0.5)*(Model!B6/60)*Model!B7+Model!B5*(1-0.5)*Model!B8*Model!B9))*12</f>
        <v>21000</v>
      </c>
      <c r="C11" s="10">
        <f>(Model!B15-(Model!B5*(1-0.6)*(Model!B6/60)*Model!B7+Model!B5*(1-0.6)*Model!B8*Model!B9))*12</f>
        <v>25200</v>
      </c>
      <c r="D11" s="41">
        <f>([1]Model!B15-([1]Model!B5*(1-0.67)*([1]Model!B6/60)*[1]Model!B7+[1]Model!B5*(1-0.67)*[1]Model!B8*[1]Model!B9))*12</f>
        <v>28140</v>
      </c>
      <c r="E11" s="10">
        <f>(Model!B15-(Model!B5*(1-0.75)*(Model!B6/60)*Model!B7+Model!B5*(1-0.75)*Model!B8*Model!B9))*12</f>
        <v>31500</v>
      </c>
      <c r="F11" s="10">
        <f>(Model!B15-(Model!B5*(1-0.8)*(Model!B6/60)*Model!B7+Model!B5*(1-0.8)*Model!B8*Model!B9))*12</f>
        <v>33600</v>
      </c>
      <c r="G11" s="10">
        <f>(Model!B15-(Model!B5*(1-0.9)*(Model!B6/60)*Model!B7+Model!B5*(1-0.9)*Model!B8*Model!B9))*12</f>
        <v>37800</v>
      </c>
    </row>
    <row r="12" spans="1:7" ht="15" customHeight="1" x14ac:dyDescent="0.25">
      <c r="A12" s="4" t="s">
        <v>57</v>
      </c>
      <c r="B12" s="8" t="str">
        <f>IF(Model!B27=0,"—",IF(Model!B15-(Model!B5*(1-0.5)*(Model!B6/60)*Model!B7+Model!B5*(1-0.5)*Model!B8*Model!B9)&lt;=0,"N/A",TEXT(Model!B27/(Model!B15-(Model!B5*(1-0.5)*(Model!B6/60)*Model!B7+Model!B5*(1-0.5)*Model!B8*Model!B9)),"0.0")))</f>
        <v>—</v>
      </c>
      <c r="C12" s="8" t="str">
        <f>IF(Model!B27=0,"—",IF(Model!B15-(Model!B5*(1-0.6)*(Model!B6/60)*Model!B7+Model!B5*(1-0.6)*Model!B8*Model!B9)&lt;=0,"N/A",TEXT(Model!B27/(Model!B15-(Model!B5*(1-0.6)*(Model!B6/60)*Model!B7+Model!B5*(1-0.6)*Model!B8*Model!B9)),"0.0")))</f>
        <v>—</v>
      </c>
      <c r="D12" s="42" t="str">
        <f>IF([1]Model!B27=0,"—",IF([1]Model!B15-([1]Model!B5*(1-0.67)*([1]Model!B6/60)*[1]Model!B7+[1]Model!B5*(1-0.67)*[1]Model!B8*[1]Model!B9)&lt;=0,"N/A",TEXT([1]Model!B27/([1]Model!B15-([1]Model!B5*(1-0.67)*([1]Model!B6/60)*[1]Model!B7+[1]Model!B5*(1-0.67)*[1]Model!B8*[1]Model!B9)),"0.0")))</f>
        <v>—</v>
      </c>
      <c r="E12" s="8" t="str">
        <f>IF(Model!B27=0,"—",IF(Model!B15-(Model!B5*(1-0.75)*(Model!B6/60)*Model!B7+Model!B5*(1-0.75)*Model!B8*Model!B9)&lt;=0,"N/A",TEXT(Model!B27/(Model!B15-(Model!B5*(1-0.75)*(Model!B6/60)*Model!B7+Model!B5*(1-0.75)*Model!B8*Model!B9)),"0.0")))</f>
        <v>—</v>
      </c>
      <c r="F12" s="8" t="str">
        <f>IF(Model!B27=0,"—",IF(Model!B15-(Model!B5*(1-0.8)*(Model!B6/60)*Model!B7+Model!B5*(1-0.8)*Model!B8*Model!B9)&lt;=0,"N/A",TEXT(Model!B27/(Model!B15-(Model!B5*(1-0.8)*(Model!B6/60)*Model!B7+Model!B5*(1-0.8)*Model!B8*Model!B9)),"0.0")))</f>
        <v>—</v>
      </c>
      <c r="G12" s="8" t="str">
        <f>IF(Model!B27=0,"—",IF(Model!B15-(Model!B5*(1-0.9)*(Model!B6/60)*Model!B7+Model!B5*(1-0.9)*Model!B8*Model!B9)&lt;=0,"N/A",TEXT(Model!B27/(Model!B15-(Model!B5*(1-0.9)*(Model!B6/60)*Model!B7+Model!B5*(1-0.9)*Model!B8*Model!B9)),"0.0")))</f>
        <v>—</v>
      </c>
    </row>
    <row r="14" spans="1:7" ht="21.75" customHeight="1" x14ac:dyDescent="0.25">
      <c r="A14" s="3" t="s">
        <v>58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showGridLines="0" zoomScaleNormal="100" workbookViewId="0">
      <selection sqref="A1:E1"/>
    </sheetView>
  </sheetViews>
  <sheetFormatPr defaultColWidth="8.7109375" defaultRowHeight="15" x14ac:dyDescent="0.25"/>
  <cols>
    <col min="1" max="1" width="30" customWidth="1"/>
    <col min="2" max="2" width="22" customWidth="1"/>
    <col min="3" max="3" width="50" customWidth="1"/>
    <col min="4" max="4" width="16" customWidth="1"/>
    <col min="5" max="5" width="55" customWidth="1"/>
  </cols>
  <sheetData>
    <row r="1" spans="1:5" ht="15.75" customHeight="1" x14ac:dyDescent="0.25">
      <c r="A1" s="1" t="s">
        <v>59</v>
      </c>
      <c r="B1" s="1"/>
      <c r="C1" s="1"/>
      <c r="D1" s="1"/>
      <c r="E1" s="1"/>
    </row>
    <row r="3" spans="1:5" ht="15" customHeight="1" x14ac:dyDescent="0.25">
      <c r="A3" s="9" t="s">
        <v>60</v>
      </c>
      <c r="B3" s="9" t="s">
        <v>61</v>
      </c>
      <c r="C3" s="9" t="s">
        <v>62</v>
      </c>
      <c r="D3" s="9" t="s">
        <v>63</v>
      </c>
      <c r="E3" s="9" t="s">
        <v>64</v>
      </c>
    </row>
    <row r="4" spans="1:5" ht="30" customHeight="1" x14ac:dyDescent="0.25">
      <c r="A4" s="11" t="s">
        <v>65</v>
      </c>
      <c r="B4" s="11" t="s">
        <v>66</v>
      </c>
      <c r="C4" s="11" t="s">
        <v>67</v>
      </c>
      <c r="D4" s="11" t="s">
        <v>68</v>
      </c>
      <c r="E4" s="12" t="s">
        <v>69</v>
      </c>
    </row>
    <row r="5" spans="1:5" ht="30" customHeight="1" x14ac:dyDescent="0.25">
      <c r="A5" s="13" t="s">
        <v>70</v>
      </c>
      <c r="B5" s="13" t="s">
        <v>71</v>
      </c>
      <c r="C5" s="13" t="s">
        <v>72</v>
      </c>
      <c r="D5" s="13" t="s">
        <v>73</v>
      </c>
      <c r="E5" s="14" t="s">
        <v>74</v>
      </c>
    </row>
    <row r="6" spans="1:5" ht="30" customHeight="1" x14ac:dyDescent="0.25">
      <c r="A6" s="11" t="s">
        <v>75</v>
      </c>
      <c r="B6" s="11" t="s">
        <v>76</v>
      </c>
      <c r="C6" s="11" t="s">
        <v>67</v>
      </c>
      <c r="D6" s="11" t="s">
        <v>68</v>
      </c>
      <c r="E6" s="12" t="s">
        <v>69</v>
      </c>
    </row>
    <row r="7" spans="1:5" ht="30" customHeight="1" x14ac:dyDescent="0.25">
      <c r="A7" s="13" t="s">
        <v>77</v>
      </c>
      <c r="B7" s="13" t="s">
        <v>78</v>
      </c>
      <c r="C7" s="13" t="s">
        <v>79</v>
      </c>
      <c r="D7" s="13" t="s">
        <v>80</v>
      </c>
      <c r="E7" s="14" t="s">
        <v>81</v>
      </c>
    </row>
    <row r="8" spans="1:5" ht="30" customHeight="1" x14ac:dyDescent="0.25">
      <c r="A8" s="11" t="s">
        <v>82</v>
      </c>
      <c r="B8" s="11" t="s">
        <v>83</v>
      </c>
      <c r="C8" s="11" t="s">
        <v>84</v>
      </c>
      <c r="D8" s="11" t="s">
        <v>85</v>
      </c>
      <c r="E8" s="12" t="s">
        <v>86</v>
      </c>
    </row>
    <row r="9" spans="1:5" ht="30" customHeight="1" x14ac:dyDescent="0.25">
      <c r="A9" s="13" t="s">
        <v>87</v>
      </c>
      <c r="B9" s="13" t="s">
        <v>88</v>
      </c>
      <c r="C9" s="13" t="s">
        <v>89</v>
      </c>
      <c r="D9" s="13" t="s">
        <v>68</v>
      </c>
      <c r="E9" s="14" t="s">
        <v>69</v>
      </c>
    </row>
    <row r="12" spans="1:5" ht="21.75" customHeight="1" x14ac:dyDescent="0.25">
      <c r="A12" s="2" t="s">
        <v>90</v>
      </c>
      <c r="B12" s="2"/>
      <c r="C12" s="2"/>
      <c r="D12" s="2"/>
      <c r="E12" s="2"/>
    </row>
    <row r="13" spans="1:5" ht="36" customHeight="1" x14ac:dyDescent="0.25">
      <c r="A13" s="15" t="s">
        <v>91</v>
      </c>
      <c r="B13" s="15" t="s">
        <v>92</v>
      </c>
      <c r="C13" s="15" t="s">
        <v>93</v>
      </c>
      <c r="D13" s="15" t="s">
        <v>85</v>
      </c>
      <c r="E13" s="12" t="s">
        <v>94</v>
      </c>
    </row>
    <row r="14" spans="1:5" ht="36" customHeight="1" x14ac:dyDescent="0.25">
      <c r="A14" s="16" t="s">
        <v>95</v>
      </c>
      <c r="B14" s="16" t="s">
        <v>96</v>
      </c>
      <c r="C14" s="16" t="s">
        <v>97</v>
      </c>
      <c r="D14" s="16" t="s">
        <v>85</v>
      </c>
      <c r="E14" s="14" t="s">
        <v>94</v>
      </c>
    </row>
    <row r="15" spans="1:5" ht="36" customHeight="1" x14ac:dyDescent="0.25">
      <c r="A15" s="15" t="s">
        <v>98</v>
      </c>
      <c r="B15" s="15" t="s">
        <v>99</v>
      </c>
      <c r="C15" s="15" t="s">
        <v>100</v>
      </c>
      <c r="D15" s="15" t="s">
        <v>101</v>
      </c>
      <c r="E15" s="12" t="s">
        <v>102</v>
      </c>
    </row>
    <row r="16" spans="1:5" ht="36" customHeight="1" x14ac:dyDescent="0.25">
      <c r="A16" s="16" t="s">
        <v>103</v>
      </c>
      <c r="B16" s="16" t="s">
        <v>104</v>
      </c>
      <c r="C16" s="16" t="s">
        <v>105</v>
      </c>
      <c r="D16" s="16" t="s">
        <v>101</v>
      </c>
      <c r="E16" s="14" t="s">
        <v>102</v>
      </c>
    </row>
    <row r="17" spans="1:5" ht="36" customHeight="1" x14ac:dyDescent="0.25">
      <c r="A17" s="15" t="s">
        <v>106</v>
      </c>
      <c r="B17" s="15" t="s">
        <v>107</v>
      </c>
      <c r="C17" s="15" t="s">
        <v>108</v>
      </c>
      <c r="D17" s="15" t="s">
        <v>109</v>
      </c>
      <c r="E17" s="12" t="s">
        <v>110</v>
      </c>
    </row>
    <row r="18" spans="1:5" ht="36" customHeight="1" x14ac:dyDescent="0.25">
      <c r="A18" s="16" t="s">
        <v>111</v>
      </c>
      <c r="B18" s="16" t="s">
        <v>112</v>
      </c>
      <c r="C18" s="16" t="s">
        <v>113</v>
      </c>
      <c r="D18" s="16" t="s">
        <v>109</v>
      </c>
      <c r="E18" s="14" t="s">
        <v>110</v>
      </c>
    </row>
    <row r="19" spans="1:5" ht="36" customHeight="1" x14ac:dyDescent="0.25">
      <c r="A19" s="15" t="s">
        <v>114</v>
      </c>
      <c r="B19" s="15" t="s">
        <v>115</v>
      </c>
      <c r="C19" s="15" t="s">
        <v>113</v>
      </c>
      <c r="D19" s="15" t="s">
        <v>109</v>
      </c>
      <c r="E19" s="12" t="s">
        <v>110</v>
      </c>
    </row>
  </sheetData>
  <mergeCells count="2">
    <mergeCell ref="A1:E1"/>
    <mergeCell ref="A12:E12"/>
  </mergeCells>
  <hyperlinks>
    <hyperlink ref="E4" r:id="rId1" xr:uid="{00000000-0004-0000-0200-000000000000}"/>
    <hyperlink ref="E5" r:id="rId2" xr:uid="{00000000-0004-0000-0200-000001000000}"/>
    <hyperlink ref="E6" r:id="rId3" xr:uid="{00000000-0004-0000-0200-000002000000}"/>
    <hyperlink ref="E7" r:id="rId4" xr:uid="{00000000-0004-0000-0200-000003000000}"/>
    <hyperlink ref="E8" r:id="rId5" xr:uid="{00000000-0004-0000-0200-000004000000}"/>
    <hyperlink ref="E9" r:id="rId6" xr:uid="{00000000-0004-0000-0200-000005000000}"/>
    <hyperlink ref="E13" r:id="rId7" xr:uid="{00000000-0004-0000-0200-000006000000}"/>
    <hyperlink ref="E14" r:id="rId8" xr:uid="{00000000-0004-0000-0200-000007000000}"/>
    <hyperlink ref="E15" r:id="rId9" xr:uid="{00000000-0004-0000-0200-000008000000}"/>
    <hyperlink ref="E16" r:id="rId10" xr:uid="{00000000-0004-0000-0200-000009000000}"/>
    <hyperlink ref="E17" r:id="rId11" xr:uid="{00000000-0004-0000-0200-00000A000000}"/>
    <hyperlink ref="E18" r:id="rId12" xr:uid="{00000000-0004-0000-0200-00000B000000}"/>
    <hyperlink ref="E19" r:id="rId13" xr:uid="{00000000-0004-0000-0200-00000C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</vt:lpstr>
      <vt:lpstr>Sensitivity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scott@traffordconsulting.ca</dc:creator>
  <dc:description/>
  <cp:lastModifiedBy>Scott Trafford</cp:lastModifiedBy>
  <cp:revision>0</cp:revision>
  <dcterms:created xsi:type="dcterms:W3CDTF">2026-05-29T19:02:35Z</dcterms:created>
  <dcterms:modified xsi:type="dcterms:W3CDTF">2026-05-29T21:44:26Z</dcterms:modified>
  <dc:language>en-US</dc:language>
</cp:coreProperties>
</file>